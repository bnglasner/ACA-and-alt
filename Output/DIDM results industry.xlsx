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glasner\Dropbox\PhD requirements\ACA and alt\Output\"/>
    </mc:Choice>
  </mc:AlternateContent>
  <xr:revisionPtr revIDLastSave="0" documentId="13_ncr:1_{A13E7753-7F77-4A11-8110-4598F7C5C7B4}" xr6:coauthVersionLast="45" xr6:coauthVersionMax="45" xr10:uidLastSave="{00000000-0000-0000-0000-000000000000}"/>
  <bookViews>
    <workbookView xWindow="585" yWindow="705" windowWidth="11670" windowHeight="11385" xr2:uid="{DBBF0654-0F44-449D-8127-9405D1D47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G2" i="1"/>
  <c r="F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<sst xmlns="http://schemas.openxmlformats.org/spreadsheetml/2006/main" count="83" uniqueCount="28">
  <si>
    <t>naics</t>
  </si>
  <si>
    <t>dependent</t>
  </si>
  <si>
    <t>ATE</t>
  </si>
  <si>
    <t>SE</t>
  </si>
  <si>
    <t>00</t>
  </si>
  <si>
    <t>11</t>
  </si>
  <si>
    <t>21</t>
  </si>
  <si>
    <t>22</t>
  </si>
  <si>
    <t>23</t>
  </si>
  <si>
    <t>31-33</t>
  </si>
  <si>
    <t>42</t>
  </si>
  <si>
    <t>48-49</t>
  </si>
  <si>
    <t>51</t>
  </si>
  <si>
    <t>52</t>
  </si>
  <si>
    <t>53</t>
  </si>
  <si>
    <t>54</t>
  </si>
  <si>
    <t>56</t>
  </si>
  <si>
    <t>61</t>
  </si>
  <si>
    <t>62</t>
  </si>
  <si>
    <t>71</t>
  </si>
  <si>
    <t>72</t>
  </si>
  <si>
    <t>81</t>
  </si>
  <si>
    <t>estab/pop</t>
  </si>
  <si>
    <t>avg receipts</t>
  </si>
  <si>
    <t>44-45</t>
  </si>
  <si>
    <t>T Value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</si>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</sst>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EE9B-18D0-41E8-A159-6D5B4F536BE2}">
  <dimension ref="A1:G39"/>
  <sheetViews>
    <sheetView tabSelected="1" workbookViewId="0">
      <selection activeCell="H3" sqref="H3"/>
    </sheetView>
  </sheetViews>
  <sheetFormatPr defaultRowHeight="15" x14ac:dyDescent="0.25"/>
  <cols>
    <col min="1" max="1" width="9.140625" style="1"/>
    <col min="2" max="2" width="11.57031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  <c r="G1" t="s">
        <v>27</v>
      </c>
    </row>
    <row r="2" spans="1:7" x14ac:dyDescent="0.25">
      <c r="A2" s="1" t="s">
        <v>4</v>
      </c>
      <c r="B2" t="s">
        <v>22</v>
      </c>
      <c r="C2">
        <v>-4.6224453329200003E-4</v>
      </c>
      <c r="D2">
        <v>8.5765743914240002E-4</v>
      </c>
      <c r="E2">
        <f>C2/D2</f>
        <v>-0.53896172550454824</v>
      </c>
      <c r="F2">
        <f>C2+1.96*D2</f>
        <v>1.2187640474271039E-3</v>
      </c>
      <c r="G2">
        <f>C2-1.96*D2</f>
        <v>-2.1432531140111039E-3</v>
      </c>
    </row>
    <row r="3" spans="1:7" x14ac:dyDescent="0.25">
      <c r="A3" s="1" t="s">
        <v>4</v>
      </c>
      <c r="B3" t="s">
        <v>23</v>
      </c>
      <c r="C3">
        <v>-65.319964286558999</v>
      </c>
      <c r="D3">
        <v>120.311941363461</v>
      </c>
      <c r="E3">
        <f t="shared" ref="E3:E39" si="0">C3/D3</f>
        <v>-0.54292170458149402</v>
      </c>
      <c r="F3">
        <f t="shared" ref="F3:F39" si="1">C3+1.96*D3</f>
        <v>170.49144078582458</v>
      </c>
      <c r="G3">
        <f t="shared" ref="G3:G39" si="2">C3-1.96*D3</f>
        <v>-301.13136935894255</v>
      </c>
    </row>
    <row r="4" spans="1:7" x14ac:dyDescent="0.25">
      <c r="A4" s="1" t="s">
        <v>5</v>
      </c>
      <c r="B4" t="s">
        <v>22</v>
      </c>
      <c r="C4" s="2">
        <v>-4.6282398947200001E-6</v>
      </c>
      <c r="D4">
        <v>1.4065654252500001E-5</v>
      </c>
      <c r="E4">
        <f t="shared" si="0"/>
        <v>-0.32904547571239967</v>
      </c>
      <c r="F4">
        <f t="shared" si="1"/>
        <v>2.294044244018E-5</v>
      </c>
      <c r="G4">
        <f t="shared" si="2"/>
        <v>-3.2196922229620004E-5</v>
      </c>
    </row>
    <row r="5" spans="1:7" x14ac:dyDescent="0.25">
      <c r="A5" s="1" t="s">
        <v>5</v>
      </c>
      <c r="B5" t="s">
        <v>23</v>
      </c>
      <c r="C5" s="2">
        <v>-72.818999920695205</v>
      </c>
      <c r="D5" s="2">
        <v>793.25982741378095</v>
      </c>
      <c r="E5">
        <f t="shared" si="0"/>
        <v>-9.1797160784131443E-2</v>
      </c>
      <c r="F5">
        <f t="shared" si="1"/>
        <v>1481.9702618103154</v>
      </c>
      <c r="G5">
        <f t="shared" si="2"/>
        <v>-1627.6082616517058</v>
      </c>
    </row>
    <row r="6" spans="1:7" x14ac:dyDescent="0.25">
      <c r="A6" s="1" t="s">
        <v>6</v>
      </c>
      <c r="B6" t="s">
        <v>22</v>
      </c>
      <c r="C6">
        <v>-4.4870763406400001E-5</v>
      </c>
      <c r="D6">
        <v>2.1228738653700001E-5</v>
      </c>
      <c r="E6">
        <f t="shared" si="0"/>
        <v>-2.1136801455031047</v>
      </c>
      <c r="F6">
        <f t="shared" si="1"/>
        <v>-3.2624356451479977E-6</v>
      </c>
      <c r="G6">
        <f t="shared" si="2"/>
        <v>-8.6479091167651997E-5</v>
      </c>
    </row>
    <row r="7" spans="1:7" x14ac:dyDescent="0.25">
      <c r="A7" s="1" t="s">
        <v>6</v>
      </c>
      <c r="B7" t="s">
        <v>23</v>
      </c>
      <c r="C7" s="2">
        <v>-4026.7864140800598</v>
      </c>
      <c r="D7" s="2">
        <v>3870.2170412288701</v>
      </c>
      <c r="E7">
        <f t="shared" si="0"/>
        <v>-1.040454933452899</v>
      </c>
      <c r="F7">
        <f t="shared" si="1"/>
        <v>3558.8389867285255</v>
      </c>
      <c r="G7">
        <f t="shared" si="2"/>
        <v>-11612.411814888645</v>
      </c>
    </row>
    <row r="8" spans="1:7" x14ac:dyDescent="0.25">
      <c r="A8" s="1" t="s">
        <v>7</v>
      </c>
      <c r="B8" t="s">
        <v>22</v>
      </c>
      <c r="C8" s="2">
        <v>-1.8198331323900001E-6</v>
      </c>
      <c r="D8" s="2">
        <v>2.5952832972499999E-6</v>
      </c>
      <c r="E8">
        <f t="shared" si="0"/>
        <v>-0.70120789291801855</v>
      </c>
      <c r="F8">
        <f t="shared" si="1"/>
        <v>3.2669221302199999E-6</v>
      </c>
      <c r="G8">
        <f t="shared" si="2"/>
        <v>-6.9065883949999996E-6</v>
      </c>
    </row>
    <row r="9" spans="1:7" x14ac:dyDescent="0.25">
      <c r="A9" s="1" t="s">
        <v>7</v>
      </c>
      <c r="B9" t="s">
        <v>23</v>
      </c>
      <c r="C9" s="2">
        <v>-1973.77066312185</v>
      </c>
      <c r="D9" s="2">
        <v>1740.32300834956</v>
      </c>
      <c r="E9">
        <f t="shared" si="0"/>
        <v>-1.1341404174123288</v>
      </c>
      <c r="F9">
        <f t="shared" si="1"/>
        <v>1437.2624332432877</v>
      </c>
      <c r="G9">
        <f t="shared" si="2"/>
        <v>-5384.8037594869875</v>
      </c>
    </row>
    <row r="10" spans="1:7" x14ac:dyDescent="0.25">
      <c r="A10" s="1" t="s">
        <v>8</v>
      </c>
      <c r="B10" t="s">
        <v>22</v>
      </c>
      <c r="C10">
        <v>-2.3002528950639999E-4</v>
      </c>
      <c r="D10">
        <v>1.06889209502E-4</v>
      </c>
      <c r="E10">
        <f t="shared" si="0"/>
        <v>-2.1519972930672293</v>
      </c>
      <c r="F10">
        <f t="shared" si="1"/>
        <v>-2.0522438882480005E-5</v>
      </c>
      <c r="G10">
        <f t="shared" si="2"/>
        <v>-4.3952814013032001E-4</v>
      </c>
    </row>
    <row r="11" spans="1:7" x14ac:dyDescent="0.25">
      <c r="A11" s="1" t="s">
        <v>8</v>
      </c>
      <c r="B11" t="s">
        <v>23</v>
      </c>
      <c r="C11">
        <v>-295.72790767394599</v>
      </c>
      <c r="D11">
        <v>346.10587051085599</v>
      </c>
      <c r="E11">
        <f t="shared" si="0"/>
        <v>-0.85444348932148539</v>
      </c>
      <c r="F11">
        <f t="shared" si="1"/>
        <v>382.63959852733171</v>
      </c>
      <c r="G11">
        <f t="shared" si="2"/>
        <v>-974.0954138752237</v>
      </c>
    </row>
    <row r="12" spans="1:7" x14ac:dyDescent="0.25">
      <c r="A12" s="1" t="s">
        <v>9</v>
      </c>
      <c r="B12" t="s">
        <v>22</v>
      </c>
      <c r="C12">
        <v>-1.3800609876199999E-5</v>
      </c>
      <c r="D12">
        <v>1.28892734246E-5</v>
      </c>
      <c r="E12">
        <f t="shared" si="0"/>
        <v>-1.0707050290251936</v>
      </c>
      <c r="F12">
        <f t="shared" si="1"/>
        <v>1.1462366036015999E-5</v>
      </c>
      <c r="G12">
        <f t="shared" si="2"/>
        <v>-3.9063585788415999E-5</v>
      </c>
    </row>
    <row r="13" spans="1:7" x14ac:dyDescent="0.25">
      <c r="A13" s="1" t="s">
        <v>9</v>
      </c>
      <c r="B13" t="s">
        <v>23</v>
      </c>
      <c r="C13">
        <v>370.53774911406902</v>
      </c>
      <c r="D13">
        <v>313.601099683548</v>
      </c>
      <c r="E13">
        <f t="shared" si="0"/>
        <v>1.1815575566794099</v>
      </c>
      <c r="F13">
        <f t="shared" si="1"/>
        <v>985.19590449382304</v>
      </c>
      <c r="G13">
        <f t="shared" si="2"/>
        <v>-244.12040626568501</v>
      </c>
    </row>
    <row r="14" spans="1:7" x14ac:dyDescent="0.25">
      <c r="A14" s="1" t="s">
        <v>10</v>
      </c>
      <c r="B14" t="s">
        <v>22</v>
      </c>
      <c r="C14" s="2">
        <v>2.3765053229000001E-6</v>
      </c>
      <c r="D14">
        <v>2.1000736624200001E-5</v>
      </c>
      <c r="E14">
        <f t="shared" si="0"/>
        <v>0.11316295068247542</v>
      </c>
      <c r="F14">
        <f t="shared" si="1"/>
        <v>4.3537949106331999E-5</v>
      </c>
      <c r="G14">
        <f t="shared" si="2"/>
        <v>-3.8784938460532002E-5</v>
      </c>
    </row>
    <row r="15" spans="1:7" x14ac:dyDescent="0.25">
      <c r="A15" s="1" t="s">
        <v>10</v>
      </c>
      <c r="B15" t="s">
        <v>23</v>
      </c>
      <c r="C15">
        <v>375.88181266411902</v>
      </c>
      <c r="D15">
        <v>600.55412208437895</v>
      </c>
      <c r="E15">
        <f t="shared" si="0"/>
        <v>0.62589165379387235</v>
      </c>
      <c r="F15">
        <f t="shared" si="1"/>
        <v>1552.9678919495018</v>
      </c>
      <c r="G15">
        <f t="shared" si="2"/>
        <v>-801.20426662126374</v>
      </c>
    </row>
    <row r="16" spans="1:7" x14ac:dyDescent="0.25">
      <c r="A16" s="1" t="s">
        <v>24</v>
      </c>
      <c r="B16" t="s">
        <v>22</v>
      </c>
      <c r="C16">
        <v>-1.7519254415099999E-4</v>
      </c>
      <c r="D16">
        <v>8.0842858506100001E-5</v>
      </c>
      <c r="E16">
        <f t="shared" si="0"/>
        <v>-2.1670750810695396</v>
      </c>
      <c r="F16">
        <f t="shared" si="1"/>
        <v>-1.6740541479043982E-5</v>
      </c>
      <c r="G16">
        <f t="shared" si="2"/>
        <v>-3.3364454682295597E-4</v>
      </c>
    </row>
    <row r="17" spans="1:7" x14ac:dyDescent="0.25">
      <c r="A17" s="1" t="s">
        <v>24</v>
      </c>
      <c r="B17" t="s">
        <v>23</v>
      </c>
      <c r="C17">
        <v>216.647347201402</v>
      </c>
      <c r="D17">
        <v>237.37721637048901</v>
      </c>
      <c r="E17">
        <f t="shared" si="0"/>
        <v>0.91267119277052833</v>
      </c>
      <c r="F17">
        <f t="shared" si="1"/>
        <v>681.90669128756042</v>
      </c>
      <c r="G17">
        <f t="shared" si="2"/>
        <v>-248.61199688475642</v>
      </c>
    </row>
    <row r="18" spans="1:7" x14ac:dyDescent="0.25">
      <c r="A18" s="1" t="s">
        <v>11</v>
      </c>
      <c r="B18" t="s">
        <v>22</v>
      </c>
      <c r="C18">
        <v>3.5365796787120002E-4</v>
      </c>
      <c r="D18">
        <v>1.98255753712E-4</v>
      </c>
      <c r="E18">
        <f t="shared" si="0"/>
        <v>1.7838471834968683</v>
      </c>
      <c r="F18">
        <f t="shared" si="1"/>
        <v>7.4223924514671999E-4</v>
      </c>
      <c r="G18">
        <f t="shared" si="2"/>
        <v>-3.4923309404319999E-5</v>
      </c>
    </row>
    <row r="19" spans="1:7" x14ac:dyDescent="0.25">
      <c r="A19" s="1" t="s">
        <v>11</v>
      </c>
      <c r="B19" t="s">
        <v>23</v>
      </c>
      <c r="C19">
        <v>-1848.75676670402</v>
      </c>
      <c r="D19">
        <v>931.71454013306698</v>
      </c>
      <c r="E19">
        <f t="shared" si="0"/>
        <v>-1.9842523509829326</v>
      </c>
      <c r="F19">
        <f t="shared" si="1"/>
        <v>-22.596268043208738</v>
      </c>
      <c r="G19">
        <f t="shared" si="2"/>
        <v>-3674.9172653648311</v>
      </c>
    </row>
    <row r="20" spans="1:7" x14ac:dyDescent="0.25">
      <c r="A20" s="1" t="s">
        <v>12</v>
      </c>
      <c r="B20" t="s">
        <v>22</v>
      </c>
      <c r="C20">
        <v>1.58824662297E-5</v>
      </c>
      <c r="D20">
        <v>1.43813617457E-5</v>
      </c>
      <c r="E20">
        <f t="shared" si="0"/>
        <v>1.1043784664167027</v>
      </c>
      <c r="F20">
        <f t="shared" si="1"/>
        <v>4.4069935251271997E-5</v>
      </c>
      <c r="G20">
        <f t="shared" si="2"/>
        <v>-1.2305002791871997E-5</v>
      </c>
    </row>
    <row r="21" spans="1:7" x14ac:dyDescent="0.25">
      <c r="A21" s="1" t="s">
        <v>12</v>
      </c>
      <c r="B21" t="s">
        <v>23</v>
      </c>
      <c r="C21">
        <v>-15.5931858230639</v>
      </c>
      <c r="D21">
        <v>248.84156479965199</v>
      </c>
      <c r="E21">
        <f t="shared" si="0"/>
        <v>-6.2663107892036968E-2</v>
      </c>
      <c r="F21">
        <f t="shared" si="1"/>
        <v>472.13628118425402</v>
      </c>
      <c r="G21">
        <f t="shared" si="2"/>
        <v>-503.3226528303818</v>
      </c>
    </row>
    <row r="22" spans="1:7" x14ac:dyDescent="0.25">
      <c r="A22" s="1" t="s">
        <v>13</v>
      </c>
      <c r="B22" t="s">
        <v>22</v>
      </c>
      <c r="C22" s="2">
        <v>4.7141694339799997E-7</v>
      </c>
      <c r="D22">
        <v>3.1853858126399998E-5</v>
      </c>
      <c r="E22">
        <f t="shared" si="0"/>
        <v>1.4799367207807607E-2</v>
      </c>
      <c r="F22">
        <f t="shared" si="1"/>
        <v>6.2904978871141987E-5</v>
      </c>
      <c r="G22">
        <f t="shared" si="2"/>
        <v>-6.1962144984345995E-5</v>
      </c>
    </row>
    <row r="23" spans="1:7" x14ac:dyDescent="0.25">
      <c r="A23" s="1" t="s">
        <v>13</v>
      </c>
      <c r="B23" t="s">
        <v>23</v>
      </c>
      <c r="C23">
        <v>687.92247806292301</v>
      </c>
      <c r="D23">
        <v>1327.2288344168301</v>
      </c>
      <c r="E23">
        <f t="shared" si="0"/>
        <v>0.51831489809757536</v>
      </c>
      <c r="F23">
        <f t="shared" si="1"/>
        <v>3289.29099351991</v>
      </c>
      <c r="G23">
        <f t="shared" si="2"/>
        <v>-1913.4460373940642</v>
      </c>
    </row>
    <row r="24" spans="1:7" x14ac:dyDescent="0.25">
      <c r="A24" s="1" t="s">
        <v>14</v>
      </c>
      <c r="B24" t="s">
        <v>22</v>
      </c>
      <c r="C24">
        <v>-8.7147172320299995E-5</v>
      </c>
      <c r="D24">
        <v>1.254874253415E-4</v>
      </c>
      <c r="E24">
        <f t="shared" si="0"/>
        <v>-0.69446936283168381</v>
      </c>
      <c r="F24">
        <f t="shared" si="1"/>
        <v>1.5880818134904003E-4</v>
      </c>
      <c r="G24">
        <f t="shared" si="2"/>
        <v>-3.3310252598964002E-4</v>
      </c>
    </row>
    <row r="25" spans="1:7" x14ac:dyDescent="0.25">
      <c r="A25" s="1" t="s">
        <v>14</v>
      </c>
      <c r="B25" t="s">
        <v>23</v>
      </c>
      <c r="C25">
        <v>41.0603572866099</v>
      </c>
      <c r="D25">
        <v>219.77080116441201</v>
      </c>
      <c r="E25">
        <f t="shared" si="0"/>
        <v>0.18683263231084266</v>
      </c>
      <c r="F25">
        <f t="shared" si="1"/>
        <v>471.81112756885739</v>
      </c>
      <c r="G25">
        <f t="shared" si="2"/>
        <v>-389.69041299563764</v>
      </c>
    </row>
    <row r="26" spans="1:7" x14ac:dyDescent="0.25">
      <c r="A26" s="1" t="s">
        <v>15</v>
      </c>
      <c r="B26" t="s">
        <v>22</v>
      </c>
      <c r="C26">
        <v>7.3989308087499996E-5</v>
      </c>
      <c r="D26">
        <v>1.4223478622009999E-4</v>
      </c>
      <c r="E26">
        <f t="shared" si="0"/>
        <v>0.52019136846738656</v>
      </c>
      <c r="F26">
        <f t="shared" si="1"/>
        <v>3.5276948907889599E-4</v>
      </c>
      <c r="G26">
        <f t="shared" si="2"/>
        <v>-2.0479087290389597E-4</v>
      </c>
    </row>
    <row r="27" spans="1:7" x14ac:dyDescent="0.25">
      <c r="A27" s="1" t="s">
        <v>15</v>
      </c>
      <c r="B27" t="s">
        <v>23</v>
      </c>
      <c r="C27">
        <v>46.335159046266298</v>
      </c>
      <c r="D27">
        <v>138.383327040279</v>
      </c>
      <c r="E27">
        <f t="shared" si="0"/>
        <v>0.33483194859724397</v>
      </c>
      <c r="F27">
        <f t="shared" si="1"/>
        <v>317.56648004521315</v>
      </c>
      <c r="G27">
        <f t="shared" si="2"/>
        <v>-224.89616195268053</v>
      </c>
    </row>
    <row r="28" spans="1:7" x14ac:dyDescent="0.25">
      <c r="A28" s="1" t="s">
        <v>16</v>
      </c>
      <c r="B28" t="s">
        <v>22</v>
      </c>
      <c r="C28">
        <v>-1.710207824469E-4</v>
      </c>
      <c r="D28">
        <v>7.6989353015999995E-5</v>
      </c>
      <c r="E28">
        <f t="shared" si="0"/>
        <v>-2.2213562752158511</v>
      </c>
      <c r="F28">
        <f t="shared" si="1"/>
        <v>-2.0121650535540021E-5</v>
      </c>
      <c r="G28">
        <f t="shared" si="2"/>
        <v>-3.2191991435825994E-4</v>
      </c>
    </row>
    <row r="29" spans="1:7" x14ac:dyDescent="0.25">
      <c r="A29" s="1" t="s">
        <v>16</v>
      </c>
      <c r="B29" t="s">
        <v>23</v>
      </c>
      <c r="C29">
        <v>-48.4964055119218</v>
      </c>
      <c r="D29">
        <v>67.394398536484402</v>
      </c>
      <c r="E29">
        <f t="shared" si="0"/>
        <v>-0.71959104265420448</v>
      </c>
      <c r="F29">
        <f t="shared" si="1"/>
        <v>83.596615619587624</v>
      </c>
      <c r="G29">
        <f t="shared" si="2"/>
        <v>-180.58942664343124</v>
      </c>
    </row>
    <row r="30" spans="1:7" x14ac:dyDescent="0.25">
      <c r="A30" s="1" t="s">
        <v>17</v>
      </c>
      <c r="B30" t="s">
        <v>22</v>
      </c>
      <c r="C30">
        <v>1.74719862444E-5</v>
      </c>
      <c r="D30">
        <v>2.94890394566E-5</v>
      </c>
      <c r="E30">
        <f t="shared" si="0"/>
        <v>0.59249085647954391</v>
      </c>
      <c r="F30">
        <f t="shared" si="1"/>
        <v>7.5270503579336003E-5</v>
      </c>
      <c r="G30">
        <f t="shared" si="2"/>
        <v>-4.0326531090535996E-5</v>
      </c>
    </row>
    <row r="31" spans="1:7" x14ac:dyDescent="0.25">
      <c r="A31" s="1" t="s">
        <v>17</v>
      </c>
      <c r="B31" t="s">
        <v>23</v>
      </c>
      <c r="C31">
        <v>16.136421853881501</v>
      </c>
      <c r="D31">
        <v>106.571450737956</v>
      </c>
      <c r="E31">
        <f t="shared" si="0"/>
        <v>0.15141411458833062</v>
      </c>
      <c r="F31">
        <f t="shared" si="1"/>
        <v>225.01646530027526</v>
      </c>
      <c r="G31">
        <f t="shared" si="2"/>
        <v>-192.74362159251226</v>
      </c>
    </row>
    <row r="32" spans="1:7" x14ac:dyDescent="0.25">
      <c r="A32" s="1" t="s">
        <v>18</v>
      </c>
      <c r="B32" t="s">
        <v>22</v>
      </c>
      <c r="C32">
        <v>-1.0940282946610001E-4</v>
      </c>
      <c r="D32">
        <v>1.042154654554E-4</v>
      </c>
      <c r="E32">
        <f t="shared" si="0"/>
        <v>-1.0497753763132209</v>
      </c>
      <c r="F32">
        <f t="shared" si="1"/>
        <v>9.4859482826483988E-5</v>
      </c>
      <c r="G32">
        <f t="shared" si="2"/>
        <v>-3.1366514175868397E-4</v>
      </c>
    </row>
    <row r="33" spans="1:7" x14ac:dyDescent="0.25">
      <c r="A33" s="1" t="s">
        <v>18</v>
      </c>
      <c r="B33" t="s">
        <v>23</v>
      </c>
      <c r="C33">
        <v>-0.22192394234519</v>
      </c>
      <c r="D33">
        <v>149.28883251682799</v>
      </c>
      <c r="E33">
        <f t="shared" si="0"/>
        <v>-1.4865408122216677E-3</v>
      </c>
      <c r="F33">
        <f t="shared" si="1"/>
        <v>292.38418779063767</v>
      </c>
      <c r="G33">
        <f t="shared" si="2"/>
        <v>-292.82803567532807</v>
      </c>
    </row>
    <row r="34" spans="1:7" x14ac:dyDescent="0.25">
      <c r="A34" s="1" t="s">
        <v>19</v>
      </c>
      <c r="B34" t="s">
        <v>22</v>
      </c>
      <c r="C34">
        <v>9.1437589072500006E-5</v>
      </c>
      <c r="D34">
        <v>6.4102693873500002E-5</v>
      </c>
      <c r="E34">
        <f t="shared" si="0"/>
        <v>1.4264235018413201</v>
      </c>
      <c r="F34">
        <f t="shared" si="1"/>
        <v>2.1707886906456001E-4</v>
      </c>
      <c r="G34">
        <f t="shared" si="2"/>
        <v>-3.4203690919560006E-5</v>
      </c>
    </row>
    <row r="35" spans="1:7" x14ac:dyDescent="0.25">
      <c r="A35" s="1" t="s">
        <v>19</v>
      </c>
      <c r="B35" t="s">
        <v>23</v>
      </c>
      <c r="C35">
        <v>-251.09444470012201</v>
      </c>
      <c r="D35">
        <v>119.20259038088599</v>
      </c>
      <c r="E35">
        <f t="shared" si="0"/>
        <v>-2.1064512431970166</v>
      </c>
      <c r="F35">
        <f t="shared" si="1"/>
        <v>-17.45736755358547</v>
      </c>
      <c r="G35">
        <f t="shared" si="2"/>
        <v>-484.73152184665855</v>
      </c>
    </row>
    <row r="36" spans="1:7" x14ac:dyDescent="0.25">
      <c r="A36" s="1" t="s">
        <v>20</v>
      </c>
      <c r="B36" t="s">
        <v>22</v>
      </c>
      <c r="C36" s="2">
        <v>5.6611981441800002E-7</v>
      </c>
      <c r="D36">
        <v>2.0467779040300001E-5</v>
      </c>
      <c r="E36">
        <f t="shared" si="0"/>
        <v>2.7659073967104066E-2</v>
      </c>
      <c r="F36">
        <f t="shared" si="1"/>
        <v>4.0682966733406002E-5</v>
      </c>
      <c r="G36">
        <f t="shared" si="2"/>
        <v>-3.9550727104570006E-5</v>
      </c>
    </row>
    <row r="37" spans="1:7" x14ac:dyDescent="0.25">
      <c r="A37" s="1" t="s">
        <v>20</v>
      </c>
      <c r="B37" t="s">
        <v>23</v>
      </c>
      <c r="C37">
        <v>-476.27183304653499</v>
      </c>
      <c r="D37">
        <v>404.00462374820899</v>
      </c>
      <c r="E37">
        <f t="shared" si="0"/>
        <v>-1.1788771837011591</v>
      </c>
      <c r="F37">
        <f t="shared" si="1"/>
        <v>315.57722949995457</v>
      </c>
      <c r="G37">
        <f t="shared" si="2"/>
        <v>-1268.1208955930247</v>
      </c>
    </row>
    <row r="38" spans="1:7" x14ac:dyDescent="0.25">
      <c r="A38" s="1" t="s">
        <v>21</v>
      </c>
      <c r="B38" t="s">
        <v>22</v>
      </c>
      <c r="C38">
        <v>-1.9969895114860001E-4</v>
      </c>
      <c r="D38">
        <v>1.3734304558260001E-4</v>
      </c>
      <c r="E38">
        <f t="shared" si="0"/>
        <v>-1.4540157479506184</v>
      </c>
      <c r="F38">
        <f t="shared" si="1"/>
        <v>6.9493418193295999E-5</v>
      </c>
      <c r="G38">
        <f t="shared" si="2"/>
        <v>-4.6889132049049605E-4</v>
      </c>
    </row>
    <row r="39" spans="1:7" x14ac:dyDescent="0.25">
      <c r="A39" s="1" t="s">
        <v>21</v>
      </c>
      <c r="B39" t="s">
        <v>23</v>
      </c>
      <c r="C39">
        <v>4.5247844729318398</v>
      </c>
      <c r="D39">
        <v>90.656375525465194</v>
      </c>
      <c r="E39">
        <f t="shared" si="0"/>
        <v>4.9911376300951243E-2</v>
      </c>
      <c r="F39">
        <f t="shared" si="1"/>
        <v>182.21128050284361</v>
      </c>
      <c r="G39">
        <f t="shared" si="2"/>
        <v>-173.16171155697995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bglasner</dc:creator>
  <cp:lastModifiedBy>bglasner</cp:lastModifiedBy>
  <dcterms:created xsi:type="dcterms:W3CDTF">2020-12-02T16:43:25Z</dcterms:created>
  <dcterms:modified xsi:type="dcterms:W3CDTF">2020-12-03T16:17:22Z</dcterms:modified>
</cp:coreProperties>
</file>